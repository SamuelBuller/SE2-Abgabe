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nse\Downloads\"/>
    </mc:Choice>
  </mc:AlternateContent>
  <xr:revisionPtr revIDLastSave="0" documentId="13_ncr:1_{D59B1409-51A3-41D9-B7B8-603F0FA02013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EVA_Fortschrittsanaly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B22" i="1"/>
  <c r="D20" i="1"/>
  <c r="E20" i="1" s="1"/>
  <c r="D19" i="1"/>
  <c r="E19" i="1" s="1"/>
  <c r="D18" i="1"/>
  <c r="E18" i="1" s="1"/>
  <c r="D17" i="1"/>
  <c r="E17" i="1" s="1"/>
  <c r="D16" i="1"/>
  <c r="E16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" i="1" s="1"/>
  <c r="D5" i="1"/>
  <c r="E5" i="1" s="1"/>
  <c r="E22" i="1" l="1"/>
  <c r="D26" i="1" l="1"/>
  <c r="D25" i="1"/>
</calcChain>
</file>

<file path=xl/sharedStrings.xml><?xml version="1.0" encoding="utf-8"?>
<sst xmlns="http://schemas.openxmlformats.org/spreadsheetml/2006/main" count="56" uniqueCount="40">
  <si>
    <t>Fortschrittsbewertung von Anforderungen (EVA)</t>
  </si>
  <si>
    <t>Sprint 1 – SE2 BWI (Alda) SS26 | BurnDown | Umsetzung wie Vorlesungsbeispiel, aber mit Story Points (SP)</t>
  </si>
  <si>
    <t>FA / User Story</t>
  </si>
  <si>
    <t>Aufwand geschätzt (in SP)</t>
  </si>
  <si>
    <t>Status (gemäß Rupp / Taiga)</t>
  </si>
  <si>
    <t>Fortschritt Relativ (in %)</t>
  </si>
  <si>
    <t>Fortschritt Absolut (in SP)</t>
  </si>
  <si>
    <t>Status</t>
  </si>
  <si>
    <t>Kumulativer Fortschritt</t>
  </si>
  <si>
    <t>#67 Als Entwickler benötige ich Einarbeitung in Vaadin und CarLook (+Springboot)</t>
  </si>
  <si>
    <t>Getestet / Closed</t>
  </si>
  <si>
    <t>Angelegt</t>
  </si>
  <si>
    <t>#46 Als DB-Experte benötige ich Einarbeitung in JDBC/JPA mit PostgreSQL, SQL</t>
  </si>
  <si>
    <t>Analysiert</t>
  </si>
  <si>
    <t>#74 Als Entwickler benötige ich Einarbeitung in Git</t>
  </si>
  <si>
    <t>Qualität geprüft</t>
  </si>
  <si>
    <t>#75 Als Entwickler benötige ich Einarbeitung in Taiga</t>
  </si>
  <si>
    <t>Entworfen</t>
  </si>
  <si>
    <t>#90 Als Entwickler benötige ich Einarbeitung in Balsamiq</t>
  </si>
  <si>
    <t>Beauftragt / In Progress</t>
  </si>
  <si>
    <t>#76 Als Product Owner möchte ich die Entwicklung und Pflege der relevanten Anforderungsartefakte (siehe Übungen Nr. 1 und 2) zum Projekt gerne sehen</t>
  </si>
  <si>
    <t>Umgesetzt / Ready for Test</t>
  </si>
  <si>
    <t>#45 Datenbank-Anbindung mit JDBC / JPA / PostgreSQL</t>
  </si>
  <si>
    <t>#82 Als User möchte ich mich registrieren können</t>
  </si>
  <si>
    <t>#10 Als User möchte ich mich einloggen können</t>
  </si>
  <si>
    <t>#32 Als User erwarte ich Authentifizierung und Sicherheit (Passwort-Verschlüsselung)</t>
  </si>
  <si>
    <t>#77 Als Entwickler erwarte ich Dokumentation der Software-Architektur</t>
  </si>
  <si>
    <t>#184 Als Software-Tester möchte ich JUnit-Tests für die Klassen zur Realisierung der Epic „Registrierung“ sowie der Developer Story „Datenbank-Anbindung mit JDBC / JPA / PostgreSQL“ sehen</t>
  </si>
  <si>
    <t>#107 Als Product Owner möchte ich bereits zwei schriftlich definierte Testfälle für einen manuellen Akzeptanztest einer komplexen Epic vorliegen haben.</t>
  </si>
  <si>
    <t>#87 Als Entwickler muss ich eine konsistente Basis-UI mit definiertem Page Flow und Corporate Design umsetzen</t>
  </si>
  <si>
    <t>#108 Als Product Owner möchte ich eine Fortschrittsgradanalyse (EVA) zum Ende des Sprints sehen</t>
  </si>
  <si>
    <t>#106 Als Product Owner möchte ich, dass das Scrum-Team die Vorbereitung der Zwischenpräsentation durchführt</t>
  </si>
  <si>
    <t>Summe</t>
  </si>
  <si>
    <t>Differenz IST / SOLL</t>
  </si>
  <si>
    <t>Fortschrittsgrad (in %)</t>
  </si>
  <si>
    <t>Taiga-Referenz: Closed Points</t>
  </si>
  <si>
    <t>Taiga-Referenz: Total Points</t>
  </si>
  <si>
    <t>Taiga-Referenz: Closed %</t>
  </si>
  <si>
    <t>Hinweis</t>
  </si>
  <si>
    <t>Formel je Zeile: Fortschritt Absolut = Story Points × Fortschritt Relativ. Gesamtfortschritt = Summe Fortschritt Absolut / Summe Story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</si>
</sst>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6"/>
      <color rgb="FF0E7490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ACC15"/>
      </patternFill>
    </fill>
    <fill>
      <patternFill patternType="solid">
        <fgColor rgb="FF0EA5B7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5">
    <xf numFmtId="0" fontId="0" fillId="0" borderId="0" xfId="0"/>
    <xf numFmtId="0" fontId="1" fillId="0" borderId="0" xfId="1" applyFont="1"/>
    <xf numFmtId="0" fontId="2" fillId="2" borderId="0" xfId="1" applyFont="1" applyFill="1"/>
    <xf numFmtId="0" fontId="3" fillId="3" borderId="0" xfId="1" applyFont="1" applyFill="1"/>
    <xf numFmtId="0" fontId="2" fillId="4" borderId="0" xfId="1" applyFont="1" applyFill="1"/>
    <xf numFmtId="0" fontId="2" fillId="5" borderId="0" xfId="1" applyFont="1" applyFill="1"/>
    <xf numFmtId="0" fontId="2" fillId="6" borderId="0" xfId="1" applyFont="1" applyFill="1"/>
    <xf numFmtId="0" fontId="0" fillId="0" borderId="0" xfId="1" applyFont="1" applyAlignment="1">
      <alignment wrapText="1"/>
    </xf>
    <xf numFmtId="1" fontId="0" fillId="0" borderId="0" xfId="1" applyNumberFormat="1" applyFont="1"/>
    <xf numFmtId="1" fontId="2" fillId="4" borderId="0" xfId="1" applyNumberFormat="1" applyFont="1" applyFill="1"/>
    <xf numFmtId="9" fontId="0" fillId="0" borderId="0" xfId="1" applyNumberFormat="1" applyFont="1"/>
    <xf numFmtId="164" fontId="0" fillId="0" borderId="0" xfId="1" applyNumberFormat="1" applyFont="1"/>
    <xf numFmtId="164" fontId="2" fillId="4" borderId="0" xfId="1" applyNumberFormat="1" applyFont="1" applyFill="1"/>
    <xf numFmtId="10" fontId="2" fillId="5" borderId="0" xfId="1" applyNumberFormat="1" applyFont="1" applyFill="1"/>
    <xf numFmtId="10" fontId="2" fillId="6" borderId="0" xfId="1" applyNumberFormat="1" applyFont="1" applyFill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="80" zoomScaleNormal="156" workbookViewId="0">
      <selection activeCell="G18" sqref="G18"/>
    </sheetView>
  </sheetViews>
  <sheetFormatPr baseColWidth="10" defaultColWidth="9" defaultRowHeight="13.5"/>
  <cols>
    <col min="1" max="1" width="62" customWidth="1"/>
    <col min="2" max="2" width="18" customWidth="1"/>
    <col min="3" max="3" width="28" customWidth="1"/>
    <col min="4" max="4" width="18" customWidth="1"/>
    <col min="5" max="5" width="29.8125" customWidth="1"/>
    <col min="7" max="8" width="24" customWidth="1"/>
  </cols>
  <sheetData>
    <row r="1" spans="1:8" ht="20.65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t="s">
        <v>1</v>
      </c>
    </row>
    <row r="4" spans="1:8" ht="13.9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G4" s="3" t="s">
        <v>7</v>
      </c>
      <c r="H4" s="3" t="s">
        <v>8</v>
      </c>
    </row>
    <row r="5" spans="1:8" ht="27">
      <c r="A5" s="7" t="s">
        <v>9</v>
      </c>
      <c r="B5" s="8">
        <v>70</v>
      </c>
      <c r="C5" s="7" t="s">
        <v>10</v>
      </c>
      <c r="D5" s="10">
        <f t="shared" ref="D5:D20" si="0">IFERROR(VLOOKUP(C5,$G$5:$H$11,2,FALSE),"")</f>
        <v>1</v>
      </c>
      <c r="E5" s="11">
        <f t="shared" ref="E5:E20" si="1">IF(OR(B5="",D5=""),"",B5*D5)</f>
        <v>70</v>
      </c>
      <c r="G5" t="s">
        <v>11</v>
      </c>
      <c r="H5" s="10">
        <v>0.2</v>
      </c>
    </row>
    <row r="6" spans="1:8" ht="27">
      <c r="A6" s="7" t="s">
        <v>12</v>
      </c>
      <c r="B6" s="8">
        <v>15</v>
      </c>
      <c r="C6" s="7" t="s">
        <v>10</v>
      </c>
      <c r="D6" s="10">
        <f t="shared" si="0"/>
        <v>1</v>
      </c>
      <c r="E6" s="11">
        <f t="shared" si="1"/>
        <v>15</v>
      </c>
      <c r="G6" t="s">
        <v>13</v>
      </c>
      <c r="H6" s="10">
        <v>0.3</v>
      </c>
    </row>
    <row r="7" spans="1:8">
      <c r="A7" s="7" t="s">
        <v>14</v>
      </c>
      <c r="B7" s="8">
        <v>3</v>
      </c>
      <c r="C7" s="7" t="s">
        <v>10</v>
      </c>
      <c r="D7" s="10">
        <f t="shared" si="0"/>
        <v>1</v>
      </c>
      <c r="E7" s="11">
        <f t="shared" si="1"/>
        <v>3</v>
      </c>
      <c r="G7" t="s">
        <v>15</v>
      </c>
      <c r="H7" s="10">
        <v>0.4</v>
      </c>
    </row>
    <row r="8" spans="1:8">
      <c r="A8" s="7" t="s">
        <v>16</v>
      </c>
      <c r="B8" s="8">
        <v>3</v>
      </c>
      <c r="C8" s="7" t="s">
        <v>10</v>
      </c>
      <c r="D8" s="10">
        <f t="shared" si="0"/>
        <v>1</v>
      </c>
      <c r="E8" s="11">
        <f t="shared" si="1"/>
        <v>3</v>
      </c>
      <c r="G8" t="s">
        <v>17</v>
      </c>
      <c r="H8" s="10">
        <v>0.5</v>
      </c>
    </row>
    <row r="9" spans="1:8">
      <c r="A9" s="7" t="s">
        <v>18</v>
      </c>
      <c r="B9" s="8">
        <v>2</v>
      </c>
      <c r="C9" s="7" t="s">
        <v>10</v>
      </c>
      <c r="D9" s="10">
        <f t="shared" si="0"/>
        <v>1</v>
      </c>
      <c r="E9" s="11">
        <f t="shared" si="1"/>
        <v>2</v>
      </c>
      <c r="G9" t="s">
        <v>19</v>
      </c>
      <c r="H9" s="10">
        <v>0.6</v>
      </c>
    </row>
    <row r="10" spans="1:8" ht="40.5">
      <c r="A10" s="7" t="s">
        <v>20</v>
      </c>
      <c r="B10" s="8">
        <v>25</v>
      </c>
      <c r="C10" s="7" t="s">
        <v>10</v>
      </c>
      <c r="D10" s="10">
        <f t="shared" si="0"/>
        <v>1</v>
      </c>
      <c r="E10" s="11">
        <f t="shared" si="1"/>
        <v>25</v>
      </c>
      <c r="G10" t="s">
        <v>21</v>
      </c>
      <c r="H10" s="10">
        <v>0.8</v>
      </c>
    </row>
    <row r="11" spans="1:8">
      <c r="A11" s="7" t="s">
        <v>22</v>
      </c>
      <c r="B11" s="8">
        <v>2</v>
      </c>
      <c r="C11" s="7" t="s">
        <v>10</v>
      </c>
      <c r="D11" s="10">
        <f t="shared" si="0"/>
        <v>1</v>
      </c>
      <c r="E11" s="11">
        <f t="shared" si="1"/>
        <v>2</v>
      </c>
      <c r="G11" t="s">
        <v>10</v>
      </c>
      <c r="H11" s="10">
        <v>1</v>
      </c>
    </row>
    <row r="12" spans="1:8">
      <c r="A12" s="7" t="s">
        <v>23</v>
      </c>
      <c r="B12" s="8">
        <v>5</v>
      </c>
      <c r="C12" s="7" t="s">
        <v>10</v>
      </c>
      <c r="D12" s="10">
        <f t="shared" si="0"/>
        <v>1</v>
      </c>
      <c r="E12" s="11">
        <f t="shared" si="1"/>
        <v>5</v>
      </c>
    </row>
    <row r="13" spans="1:8">
      <c r="A13" s="7" t="s">
        <v>24</v>
      </c>
      <c r="B13" s="8">
        <v>5</v>
      </c>
      <c r="C13" s="7" t="s">
        <v>10</v>
      </c>
      <c r="D13" s="10">
        <f t="shared" si="0"/>
        <v>1</v>
      </c>
      <c r="E13" s="11">
        <f t="shared" si="1"/>
        <v>5</v>
      </c>
    </row>
    <row r="14" spans="1:8" ht="27">
      <c r="A14" s="7" t="s">
        <v>25</v>
      </c>
      <c r="B14" s="8">
        <v>5</v>
      </c>
      <c r="C14" s="7" t="s">
        <v>10</v>
      </c>
      <c r="D14" s="10">
        <f t="shared" si="0"/>
        <v>1</v>
      </c>
      <c r="E14" s="11">
        <f t="shared" si="1"/>
        <v>5</v>
      </c>
    </row>
    <row r="15" spans="1:8">
      <c r="A15" s="7" t="s">
        <v>26</v>
      </c>
      <c r="B15" s="8">
        <v>5</v>
      </c>
      <c r="C15" s="7" t="s">
        <v>11</v>
      </c>
      <c r="D15" s="10">
        <f t="shared" si="0"/>
        <v>0.2</v>
      </c>
      <c r="E15" s="11">
        <f t="shared" si="1"/>
        <v>1</v>
      </c>
    </row>
    <row r="16" spans="1:8" ht="40.5">
      <c r="A16" s="7" t="s">
        <v>27</v>
      </c>
      <c r="B16" s="8">
        <v>3</v>
      </c>
      <c r="C16" s="7" t="s">
        <v>11</v>
      </c>
      <c r="D16" s="10">
        <f t="shared" si="0"/>
        <v>0.2</v>
      </c>
      <c r="E16" s="11">
        <f t="shared" si="1"/>
        <v>0.60000000000000009</v>
      </c>
    </row>
    <row r="17" spans="1:5" ht="40.5">
      <c r="A17" s="7" t="s">
        <v>28</v>
      </c>
      <c r="B17" s="8">
        <v>2</v>
      </c>
      <c r="C17" s="7" t="s">
        <v>11</v>
      </c>
      <c r="D17" s="10">
        <f t="shared" si="0"/>
        <v>0.2</v>
      </c>
      <c r="E17" s="11">
        <f t="shared" si="1"/>
        <v>0.4</v>
      </c>
    </row>
    <row r="18" spans="1:5" ht="27">
      <c r="A18" s="7" t="s">
        <v>29</v>
      </c>
      <c r="B18" s="8">
        <v>8</v>
      </c>
      <c r="C18" s="7" t="s">
        <v>11</v>
      </c>
      <c r="D18" s="10">
        <f t="shared" si="0"/>
        <v>0.2</v>
      </c>
      <c r="E18" s="11">
        <f t="shared" si="1"/>
        <v>1.6</v>
      </c>
    </row>
    <row r="19" spans="1:5" ht="27">
      <c r="A19" s="7" t="s">
        <v>30</v>
      </c>
      <c r="B19" s="8">
        <v>3</v>
      </c>
      <c r="C19" s="7" t="s">
        <v>11</v>
      </c>
      <c r="D19" s="10">
        <f t="shared" si="0"/>
        <v>0.2</v>
      </c>
      <c r="E19" s="11">
        <f t="shared" si="1"/>
        <v>0.60000000000000009</v>
      </c>
    </row>
    <row r="20" spans="1:5" ht="27">
      <c r="A20" s="7" t="s">
        <v>31</v>
      </c>
      <c r="B20" s="8">
        <v>3</v>
      </c>
      <c r="C20" s="7" t="s">
        <v>11</v>
      </c>
      <c r="D20" s="10">
        <f t="shared" si="0"/>
        <v>0.2</v>
      </c>
      <c r="E20" s="11">
        <f t="shared" si="1"/>
        <v>0.60000000000000009</v>
      </c>
    </row>
    <row r="21" spans="1:5">
      <c r="B21" s="8"/>
      <c r="E21" s="11"/>
    </row>
    <row r="22" spans="1:5" ht="13.9">
      <c r="A22" s="4" t="s">
        <v>32</v>
      </c>
      <c r="B22" s="9">
        <f>SUM(B5:B20)</f>
        <v>159</v>
      </c>
      <c r="C22" s="4"/>
      <c r="D22" s="4"/>
      <c r="E22" s="12">
        <f>SUM(E5:E20)</f>
        <v>139.79999999999998</v>
      </c>
    </row>
    <row r="25" spans="1:5" ht="13.9">
      <c r="C25" s="5" t="s">
        <v>33</v>
      </c>
      <c r="D25" s="5">
        <f>E22-B22</f>
        <v>-19.200000000000017</v>
      </c>
    </row>
    <row r="26" spans="1:5" ht="13.9">
      <c r="C26" s="5" t="s">
        <v>34</v>
      </c>
      <c r="D26" s="13">
        <f>E22/B22</f>
        <v>0.87924528301886784</v>
      </c>
    </row>
    <row r="28" spans="1:5" ht="13.9">
      <c r="C28" s="6" t="s">
        <v>35</v>
      </c>
      <c r="D28" s="6">
        <v>135</v>
      </c>
    </row>
    <row r="29" spans="1:5" ht="13.9">
      <c r="C29" s="6" t="s">
        <v>36</v>
      </c>
      <c r="D29" s="6">
        <v>159</v>
      </c>
    </row>
    <row r="30" spans="1:5" ht="13.9">
      <c r="C30" s="6" t="s">
        <v>37</v>
      </c>
      <c r="D30" s="14">
        <f>D28/D29</f>
        <v>0.84905660377358494</v>
      </c>
    </row>
    <row r="32" spans="1:5">
      <c r="A32" s="7" t="s">
        <v>38</v>
      </c>
    </row>
    <row r="33" spans="1:1">
      <c r="A33" s="7"/>
    </row>
    <row r="34" spans="1:1">
      <c r="A34" s="7"/>
    </row>
    <row r="35" spans="1:1" ht="27">
      <c r="A35" s="7" t="s">
        <v>39</v>
      </c>
    </row>
    <row r="37" spans="1:1">
      <c r="A37" s="7"/>
    </row>
  </sheetData>
  <dataValidations count="1">
    <dataValidation type="list" sqref="C5:C20" xr:uid="{00000000-0002-0000-0000-000000000000}">
      <formula1>$G$5:$G$11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EVA_Fortschrittsanalyse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cansel altuntas</cp:lastModifiedBy>
  <dcterms:modified xsi:type="dcterms:W3CDTF">2026-06-08T19:00:07Z</dcterms:modified>
</cp:coreProperties>
</file>